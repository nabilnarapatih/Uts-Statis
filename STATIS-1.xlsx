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lapto\Documents\NABIL\"/>
    </mc:Choice>
  </mc:AlternateContent>
  <xr:revisionPtr revIDLastSave="0" documentId="8_{F6CEC951-6A6A-D846-8EDA-E29FB8DE15CB}" xr6:coauthVersionLast="47" xr6:coauthVersionMax="47" xr10:uidLastSave="{00000000-0000-0000-0000-000000000000}"/>
  <bookViews>
    <workbookView xWindow="-120" yWindow="-120" windowWidth="20730" windowHeight="11760" xr2:uid="{C26DDB07-A44A-46FF-A6D6-D3F1814CABF5}"/>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6" i="1" l="1"/>
  <c r="A42" i="1"/>
  <c r="C24" i="1"/>
  <c r="C26" i="1"/>
  <c r="A29" i="1"/>
  <c r="C25" i="1"/>
  <c r="V29" i="1"/>
  <c r="T29" i="1"/>
  <c r="R29" i="1"/>
  <c r="P29" i="1"/>
  <c r="N29" i="1"/>
  <c r="L29" i="1"/>
  <c r="J29" i="1"/>
  <c r="H29" i="1"/>
  <c r="F29" i="1"/>
  <c r="C29" i="1"/>
  <c r="E29" i="1"/>
</calcChain>
</file>

<file path=xl/sharedStrings.xml><?xml version="1.0" encoding="utf-8"?>
<sst xmlns="http://schemas.openxmlformats.org/spreadsheetml/2006/main" count="45" uniqueCount="45">
  <si>
    <t>No</t>
  </si>
  <si>
    <t>Bulan</t>
  </si>
  <si>
    <t>Januari</t>
  </si>
  <si>
    <t>mei</t>
  </si>
  <si>
    <t>II.A</t>
  </si>
  <si>
    <t>Variabel X (Independen) = Waktu/Periode Bulan</t>
  </si>
  <si>
    <t>Variabel Y (Dependen) = Presentase RTLM</t>
  </si>
  <si>
    <t>Sumber Data = Website BPS</t>
  </si>
  <si>
    <t>II.B</t>
  </si>
  <si>
    <t>II.B.1</t>
  </si>
  <si>
    <t>Rata-rata</t>
  </si>
  <si>
    <t>Varians</t>
  </si>
  <si>
    <t>Standar Deviasi</t>
  </si>
  <si>
    <t>II.C1</t>
  </si>
  <si>
    <t>II.C.2</t>
  </si>
  <si>
    <t>Bulan dengan RTLM Tinggi</t>
  </si>
  <si>
    <t>Bulan dengan RTLM Rendah</t>
  </si>
  <si>
    <t>Peluang gabungan (saling lepas)</t>
  </si>
  <si>
    <t>II.D.1</t>
  </si>
  <si>
    <t>Jenis Distribusi : Distribusi Kontinu</t>
  </si>
  <si>
    <t>II.D.2</t>
  </si>
  <si>
    <t xml:space="preserve">Alasannya : Karena RTLM diukur dalam angka desimal (1.95).
Data ini memiliki beberapa nilai pun dalam rentang 0% sampai 100%, bukan angka bulat. </t>
  </si>
  <si>
    <t>Rumus pediksi peluang</t>
  </si>
  <si>
    <t>Peluang rata rata lama menginap untuk mencapai di atas 2,0 hari hanya sebesar 1,9%</t>
  </si>
  <si>
    <t>Kesimpulan</t>
  </si>
  <si>
    <t>Secara statistik, target lama menginap 2,0 hari hampir mustahil tercapai jika hanya mengadalkan tren data tahun 2024.
perlu ada strategi pemasaran yang luar biasa atau event besar untuk menembus angka tersebut</t>
  </si>
  <si>
    <t>II.B.2</t>
  </si>
  <si>
    <t>Febuari</t>
  </si>
  <si>
    <t>Rata-Rata Lama Tamu Menginap
di Laboan Bajo</t>
  </si>
  <si>
    <t>Sifat Data (Homogen VS Heterogen)</t>
  </si>
  <si>
    <t>Data RTLM cenderung Heterogen (Menyebar Luas)</t>
  </si>
  <si>
    <t>Alasannya : Hal ini dibuktikan dengan rentang nilai Z-score yang lebar, mulai dari titik terendah -1,40 hingga titik tertinggi 1,65. 
Jarak antar nilai yang signifikan antar bulan, bukan angka yang stabil mengelompok di satu titik.</t>
  </si>
  <si>
    <t>Temuan data Ekstrem (Penurunan) : Berada pada bulan Juli (z = -1,40)</t>
  </si>
  <si>
    <t>nalisis Penyebab : Penurunan drastis ini di karenakan adanya siklus low season di Labuan Bajo,
dimana wisatawan berkurang setelah musim liburan.</t>
  </si>
  <si>
    <t>Temuan Data Ekstrem (Lonjakan Tinggi) : Berada pada bulan Januari (z = 1,65)</t>
  </si>
  <si>
    <t>Analisis Penyebab : Lonjakan ini menunjukan awal fenomena High Season di awal tahun, didorong oleh liburan Tahun Baru dan musim liburan sekolah.</t>
  </si>
  <si>
    <t>Desember</t>
  </si>
  <si>
    <t>November</t>
  </si>
  <si>
    <t>Oktober</t>
  </si>
  <si>
    <t>Maret</t>
  </si>
  <si>
    <t>April</t>
  </si>
  <si>
    <t>Juni</t>
  </si>
  <si>
    <t>Juli</t>
  </si>
  <si>
    <t>Agustus</t>
  </si>
  <si>
    <t>September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</si>
</sst>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
    <numFmt numFmtId="167" formatCode="0.0000000"/>
  </numFmts>
  <fonts count="5" x14ac:knownFonts="1">
    <font>
      <sz val="11"/>
      <color theme="1"/>
      <name val="Calibri"/>
      <family val="2"/>
      <scheme val="minor"/>
    </font>
    <font>
      <sz val="11"/>
      <color theme="1"/>
      <name val="Calibri"/>
      <family val="2"/>
      <scheme val="minor"/>
    </font>
    <font>
      <sz val="11"/>
      <color theme="1"/>
      <name val="Times New Roman"/>
      <family val="1"/>
    </font>
    <font>
      <b/>
      <sz val="11"/>
      <color theme="1"/>
      <name val="Times New Roman"/>
      <family val="1"/>
    </font>
    <font>
      <b/>
      <sz val="14"/>
      <color theme="1"/>
      <name val="Times New Roman"/>
      <family val="1"/>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30">
    <xf numFmtId="0" fontId="0" fillId="0" borderId="0" xfId="0"/>
    <xf numFmtId="0" fontId="0" fillId="0" borderId="0" xfId="0" applyAlignment="1">
      <alignment horizontal="left"/>
    </xf>
    <xf numFmtId="0" fontId="2" fillId="0" borderId="0" xfId="0" applyFont="1"/>
    <xf numFmtId="1" fontId="2" fillId="0" borderId="1" xfId="0" applyNumberFormat="1" applyFont="1" applyBorder="1" applyAlignment="1">
      <alignment horizontal="center" vertical="center"/>
    </xf>
    <xf numFmtId="2" fontId="2" fillId="0" borderId="1" xfId="0" applyNumberFormat="1" applyFont="1" applyBorder="1"/>
    <xf numFmtId="165" fontId="2" fillId="0" borderId="0" xfId="0" applyNumberFormat="1" applyFont="1"/>
    <xf numFmtId="0" fontId="2" fillId="0" borderId="0" xfId="0" applyFont="1" applyAlignment="1">
      <alignment horizontal="center"/>
    </xf>
    <xf numFmtId="1" fontId="2" fillId="0" borderId="0" xfId="0" applyNumberFormat="1" applyFont="1"/>
    <xf numFmtId="0" fontId="2" fillId="0" borderId="0" xfId="0" applyFont="1" applyAlignment="1">
      <alignment horizontal="left"/>
    </xf>
    <xf numFmtId="166" fontId="2" fillId="0" borderId="0" xfId="0" applyNumberFormat="1" applyFont="1"/>
    <xf numFmtId="0" fontId="2" fillId="0" borderId="0" xfId="0" applyFont="1" applyAlignment="1">
      <alignment horizontal="left" vertical="center"/>
    </xf>
    <xf numFmtId="164" fontId="2" fillId="0" borderId="0" xfId="0" applyNumberFormat="1" applyFont="1" applyAlignment="1">
      <alignment horizontal="right"/>
    </xf>
    <xf numFmtId="164" fontId="2" fillId="0" borderId="0" xfId="0" applyNumberFormat="1" applyFont="1" applyAlignment="1"/>
    <xf numFmtId="0" fontId="3" fillId="0" borderId="1" xfId="0" applyFont="1" applyBorder="1"/>
    <xf numFmtId="0" fontId="4" fillId="0" borderId="1" xfId="0" applyFont="1" applyBorder="1"/>
    <xf numFmtId="9" fontId="2" fillId="0" borderId="0" xfId="1" applyFont="1"/>
    <xf numFmtId="0" fontId="2" fillId="0" borderId="0" xfId="1" applyNumberFormat="1" applyFont="1"/>
    <xf numFmtId="166" fontId="2" fillId="0" borderId="0" xfId="0" applyNumberFormat="1" applyFont="1" applyAlignment="1">
      <alignment horizontal="right"/>
    </xf>
    <xf numFmtId="167" fontId="2" fillId="0" borderId="0" xfId="0" applyNumberFormat="1" applyFont="1" applyAlignment="1">
      <alignment horizontal="right"/>
    </xf>
    <xf numFmtId="165" fontId="2" fillId="0" borderId="0" xfId="0" applyNumberFormat="1" applyFont="1" applyAlignment="1">
      <alignment horizontal="right"/>
    </xf>
    <xf numFmtId="0" fontId="3" fillId="0" borderId="1" xfId="0" applyFont="1" applyBorder="1" applyAlignment="1">
      <alignment horizontal="center"/>
    </xf>
    <xf numFmtId="0" fontId="3" fillId="0" borderId="0" xfId="0" applyFont="1"/>
    <xf numFmtId="0" fontId="2" fillId="0" borderId="0" xfId="0" applyFont="1" applyAlignment="1">
      <alignment horizontal="left" vertical="center" wrapText="1"/>
    </xf>
    <xf numFmtId="0" fontId="3" fillId="0" borderId="2" xfId="0" applyFont="1" applyBorder="1" applyAlignment="1">
      <alignment horizontal="center" wrapText="1"/>
    </xf>
    <xf numFmtId="0" fontId="3" fillId="0" borderId="3" xfId="0" applyFont="1" applyBorder="1" applyAlignment="1">
      <alignment horizontal="center"/>
    </xf>
    <xf numFmtId="0" fontId="3" fillId="0" borderId="4" xfId="0" applyFont="1" applyBorder="1" applyAlignment="1">
      <alignment horizontal="center"/>
    </xf>
    <xf numFmtId="0" fontId="2" fillId="0" borderId="0" xfId="0" applyFont="1" applyAlignment="1">
      <alignment horizontal="left" wrapText="1"/>
    </xf>
    <xf numFmtId="0" fontId="2" fillId="0" borderId="0" xfId="0" applyFont="1" applyAlignment="1">
      <alignment horizontal="left"/>
    </xf>
    <xf numFmtId="0" fontId="2" fillId="0" borderId="0" xfId="0" applyFont="1" applyAlignment="1">
      <alignment horizontal="center"/>
    </xf>
    <xf numFmtId="0" fontId="2" fillId="0" borderId="0" xfId="1" applyNumberFormat="1" applyFont="1" applyAlignment="1">
      <alignment horizontal="center"/>
    </xf>
  </cellXfs>
  <cellStyles count="2">
    <cellStyle name="Normal" xfId="0" builtinId="0"/>
    <cellStyle name="Per 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5" Type="http://schemas.openxmlformats.org/officeDocument/2006/relationships/calcChain" Target="calcChain.xml" /><Relationship Id="rId4" Type="http://schemas.openxmlformats.org/officeDocument/2006/relationships/sharedStrings" Target="sharedStrings.xml" /></Relationships>
</file>

<file path=xl/charts/_rels/chart1.xml.rels><?xml version="1.0" encoding="UTF-8" standalone="yes"?>
<Relationships xmlns="http://schemas.openxmlformats.org/package/2006/relationships"><Relationship Id="rId2" Type="http://schemas.microsoft.com/office/2011/relationships/chartColorStyle" Target="colors1.xml" /><Relationship Id="rId1" Type="http://schemas.microsoft.com/office/2011/relationships/chartStyle" Target="style1.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Tren</a:t>
            </a:r>
            <a:r>
              <a:rPr lang="en-ID" baseline="0"/>
              <a:t> RTLM per Bulan</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Sheet1!$D$9:$D$20</c:f>
              <c:strCache>
                <c:ptCount val="12"/>
                <c:pt idx="0">
                  <c:v>Januari</c:v>
                </c:pt>
                <c:pt idx="1">
                  <c:v>Febuari</c:v>
                </c:pt>
                <c:pt idx="2">
                  <c:v>Maret</c:v>
                </c:pt>
                <c:pt idx="3">
                  <c:v>April</c:v>
                </c:pt>
                <c:pt idx="4">
                  <c:v>mei</c:v>
                </c:pt>
                <c:pt idx="5">
                  <c:v>Juni</c:v>
                </c:pt>
                <c:pt idx="6">
                  <c:v>Juli</c:v>
                </c:pt>
                <c:pt idx="7">
                  <c:v>Agustus</c:v>
                </c:pt>
                <c:pt idx="8">
                  <c:v>September</c:v>
                </c:pt>
                <c:pt idx="9">
                  <c:v>Oktober</c:v>
                </c:pt>
                <c:pt idx="10">
                  <c:v>November</c:v>
                </c:pt>
                <c:pt idx="11">
                  <c:v>Desember</c:v>
                </c:pt>
              </c:strCache>
            </c:strRef>
          </c:cat>
          <c:val>
            <c:numRef>
              <c:f>Sheet1!$E$9:$E$20</c:f>
              <c:numCache>
                <c:formatCode>0.00</c:formatCode>
                <c:ptCount val="12"/>
                <c:pt idx="0">
                  <c:v>1.95</c:v>
                </c:pt>
                <c:pt idx="1">
                  <c:v>1.86</c:v>
                </c:pt>
                <c:pt idx="2">
                  <c:v>1.92</c:v>
                </c:pt>
                <c:pt idx="3">
                  <c:v>1.7</c:v>
                </c:pt>
                <c:pt idx="4">
                  <c:v>1.64</c:v>
                </c:pt>
                <c:pt idx="5">
                  <c:v>1.61</c:v>
                </c:pt>
                <c:pt idx="6">
                  <c:v>1.54</c:v>
                </c:pt>
                <c:pt idx="7">
                  <c:v>1.62</c:v>
                </c:pt>
                <c:pt idx="8">
                  <c:v>1.69</c:v>
                </c:pt>
                <c:pt idx="9">
                  <c:v>1.63</c:v>
                </c:pt>
                <c:pt idx="10">
                  <c:v>1.73</c:v>
                </c:pt>
                <c:pt idx="11">
                  <c:v>1.85</c:v>
                </c:pt>
              </c:numCache>
            </c:numRef>
          </c:val>
          <c:smooth val="0"/>
          <c:extLst>
            <c:ext xmlns:c16="http://schemas.microsoft.com/office/drawing/2014/chart" uri="{C3380CC4-5D6E-409C-BE32-E72D297353CC}">
              <c16:uniqueId val="{00000000-DAE2-4C2D-A183-9543C8C3180B}"/>
            </c:ext>
          </c:extLst>
        </c:ser>
        <c:dLbls>
          <c:showLegendKey val="0"/>
          <c:showVal val="0"/>
          <c:showCatName val="0"/>
          <c:showSerName val="0"/>
          <c:showPercent val="0"/>
          <c:showBubbleSize val="0"/>
        </c:dLbls>
        <c:marker val="1"/>
        <c:smooth val="0"/>
        <c:axId val="1666940943"/>
        <c:axId val="1666928463"/>
      </c:lineChart>
      <c:catAx>
        <c:axId val="1666940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928463"/>
        <c:crosses val="autoZero"/>
        <c:auto val="1"/>
        <c:lblAlgn val="ctr"/>
        <c:lblOffset val="100"/>
        <c:noMultiLvlLbl val="0"/>
      </c:catAx>
      <c:valAx>
        <c:axId val="16669284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940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dr:twoCellAnchor>
    <xdr:from>
      <xdr:col>6</xdr:col>
      <xdr:colOff>401411</xdr:colOff>
      <xdr:row>5</xdr:row>
      <xdr:rowOff>186417</xdr:rowOff>
    </xdr:from>
    <xdr:to>
      <xdr:col>13</xdr:col>
      <xdr:colOff>687161</xdr:colOff>
      <xdr:row>17</xdr:row>
      <xdr:rowOff>176892</xdr:rowOff>
    </xdr:to>
    <xdr:graphicFrame macro="">
      <xdr:nvGraphicFramePr>
        <xdr:cNvPr id="7" name="Chart 6">
          <a:extLst>
            <a:ext uri="{FF2B5EF4-FFF2-40B4-BE49-F238E27FC236}">
              <a16:creationId xmlns:a16="http://schemas.microsoft.com/office/drawing/2014/main" id="{DD3F266D-EA0E-7506-5CE2-969A1476BC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CEA40-8D94-4C14-AAC3-3C55CF561167}">
  <dimension ref="A2:W57"/>
  <sheetViews>
    <sheetView tabSelected="1" zoomScale="70" zoomScaleNormal="70" workbookViewId="0">
      <selection activeCell="H3" sqref="H3"/>
    </sheetView>
  </sheetViews>
  <sheetFormatPr defaultRowHeight="15" x14ac:dyDescent="0.2"/>
  <cols>
    <col min="1" max="1" width="10.89453125" customWidth="1"/>
    <col min="2" max="2" width="7.6640625" customWidth="1"/>
    <col min="4" max="4" width="12.9140625" customWidth="1"/>
    <col min="5" max="5" width="18.5625" customWidth="1"/>
    <col min="14" max="14" width="11.703125" bestFit="1" customWidth="1"/>
  </cols>
  <sheetData>
    <row r="2" spans="1:23" x14ac:dyDescent="0.2">
      <c r="A2" s="21" t="s">
        <v>4</v>
      </c>
      <c r="B2" s="2"/>
      <c r="C2" s="2"/>
      <c r="D2" s="2"/>
      <c r="E2" s="2"/>
      <c r="F2" s="2"/>
      <c r="G2" s="2"/>
      <c r="H2" s="2"/>
      <c r="I2" s="2"/>
      <c r="J2" s="2"/>
      <c r="K2" s="2"/>
      <c r="L2" s="2"/>
      <c r="M2" s="2"/>
      <c r="N2" s="2"/>
      <c r="O2" s="2"/>
      <c r="P2" s="2"/>
      <c r="Q2" s="2"/>
      <c r="R2" s="2"/>
      <c r="S2" s="2"/>
      <c r="T2" s="2"/>
      <c r="U2" s="2"/>
      <c r="V2" s="2"/>
      <c r="W2" s="2"/>
    </row>
    <row r="3" spans="1:23" x14ac:dyDescent="0.2">
      <c r="A3" s="2" t="s">
        <v>5</v>
      </c>
      <c r="B3" s="2"/>
      <c r="C3" s="2"/>
      <c r="D3" s="2"/>
      <c r="E3" s="2"/>
      <c r="F3" s="2"/>
      <c r="G3" s="2"/>
      <c r="H3" s="2"/>
      <c r="I3" s="2"/>
      <c r="J3" s="2"/>
      <c r="K3" s="2"/>
      <c r="L3" s="2"/>
      <c r="M3" s="2"/>
      <c r="N3" s="2"/>
      <c r="O3" s="2"/>
      <c r="P3" s="2"/>
      <c r="Q3" s="2"/>
      <c r="R3" s="2"/>
      <c r="S3" s="2"/>
      <c r="T3" s="2"/>
      <c r="U3" s="2"/>
      <c r="V3" s="2"/>
      <c r="W3" s="2"/>
    </row>
    <row r="4" spans="1:23" x14ac:dyDescent="0.2">
      <c r="A4" s="27" t="s">
        <v>6</v>
      </c>
      <c r="B4" s="27"/>
      <c r="C4" s="27"/>
      <c r="D4" s="27"/>
      <c r="E4" s="27"/>
      <c r="F4" s="2"/>
      <c r="G4" s="2"/>
      <c r="H4" s="2"/>
      <c r="I4" s="2"/>
      <c r="J4" s="2"/>
      <c r="K4" s="2"/>
      <c r="L4" s="2"/>
      <c r="M4" s="2"/>
      <c r="N4" s="2"/>
      <c r="O4" s="2"/>
      <c r="P4" s="2"/>
      <c r="Q4" s="2"/>
      <c r="R4" s="2"/>
      <c r="S4" s="2"/>
      <c r="T4" s="2"/>
      <c r="U4" s="2"/>
      <c r="V4" s="2"/>
      <c r="W4" s="2"/>
    </row>
    <row r="5" spans="1:23" x14ac:dyDescent="0.2">
      <c r="A5" s="27" t="s">
        <v>7</v>
      </c>
      <c r="B5" s="27"/>
      <c r="C5" s="27"/>
      <c r="D5" s="27"/>
      <c r="E5" s="27"/>
      <c r="F5" s="2"/>
      <c r="G5" s="2"/>
      <c r="H5" s="2"/>
      <c r="I5" s="2"/>
      <c r="J5" s="2"/>
      <c r="K5" s="2"/>
      <c r="L5" s="2"/>
      <c r="M5" s="2"/>
      <c r="N5" s="2"/>
      <c r="O5" s="2"/>
      <c r="P5" s="2"/>
      <c r="Q5" s="2"/>
      <c r="R5" s="2"/>
      <c r="S5" s="2"/>
      <c r="T5" s="2"/>
      <c r="U5" s="2"/>
      <c r="V5" s="2"/>
      <c r="W5" s="2"/>
    </row>
    <row r="6" spans="1:23" x14ac:dyDescent="0.2">
      <c r="A6" s="2"/>
      <c r="B6" s="2"/>
      <c r="C6" s="2"/>
      <c r="D6" s="2"/>
      <c r="E6" s="2"/>
      <c r="F6" s="2"/>
      <c r="G6" s="2"/>
      <c r="H6" s="2"/>
      <c r="I6" s="2"/>
      <c r="J6" s="2"/>
      <c r="K6" s="2"/>
      <c r="L6" s="2"/>
      <c r="M6" s="2"/>
      <c r="N6" s="2"/>
      <c r="O6" s="2"/>
      <c r="P6" s="2"/>
      <c r="Q6" s="2"/>
      <c r="R6" s="2"/>
      <c r="S6" s="2"/>
      <c r="T6" s="2"/>
      <c r="U6" s="2"/>
      <c r="V6" s="2"/>
      <c r="W6" s="2"/>
    </row>
    <row r="7" spans="1:23" ht="30.75" customHeight="1" x14ac:dyDescent="0.2">
      <c r="A7" s="21" t="s">
        <v>8</v>
      </c>
      <c r="B7" s="2"/>
      <c r="C7" s="23" t="s">
        <v>28</v>
      </c>
      <c r="D7" s="24"/>
      <c r="E7" s="25"/>
      <c r="F7" s="2"/>
      <c r="G7" s="2"/>
      <c r="H7" s="2"/>
      <c r="I7" s="2"/>
      <c r="J7" s="2"/>
      <c r="K7" s="2"/>
      <c r="L7" s="2"/>
      <c r="M7" s="2"/>
      <c r="N7" s="2"/>
      <c r="O7" s="2"/>
      <c r="P7" s="2"/>
      <c r="Q7" s="2"/>
      <c r="R7" s="2"/>
      <c r="S7" s="2"/>
      <c r="T7" s="2"/>
      <c r="U7" s="2"/>
      <c r="V7" s="2"/>
      <c r="W7" s="2"/>
    </row>
    <row r="8" spans="1:23" x14ac:dyDescent="0.2">
      <c r="A8" s="2"/>
      <c r="B8" s="2"/>
      <c r="C8" s="20" t="s">
        <v>0</v>
      </c>
      <c r="D8" s="13" t="s">
        <v>1</v>
      </c>
      <c r="E8" s="20">
        <v>2024</v>
      </c>
      <c r="F8" s="2"/>
      <c r="G8" s="2"/>
      <c r="H8" s="2"/>
      <c r="I8" s="2"/>
      <c r="J8" s="2"/>
      <c r="K8" s="2"/>
      <c r="L8" s="2"/>
      <c r="M8" s="2"/>
      <c r="N8" s="2"/>
      <c r="O8" s="2"/>
      <c r="P8" s="2"/>
      <c r="Q8" s="2"/>
      <c r="R8" s="2"/>
      <c r="S8" s="2"/>
      <c r="T8" s="2"/>
      <c r="U8" s="2"/>
      <c r="V8" s="2"/>
      <c r="W8" s="2"/>
    </row>
    <row r="9" spans="1:23" ht="18" x14ac:dyDescent="0.2">
      <c r="A9" s="2"/>
      <c r="B9" s="2"/>
      <c r="C9" s="3">
        <v>1</v>
      </c>
      <c r="D9" s="14" t="s">
        <v>2</v>
      </c>
      <c r="E9" s="4">
        <v>1.95</v>
      </c>
      <c r="F9" s="2"/>
      <c r="G9" s="2"/>
      <c r="H9" s="2"/>
      <c r="I9" s="16"/>
      <c r="J9" s="2"/>
      <c r="K9" s="2"/>
      <c r="L9" s="2"/>
      <c r="M9" s="2"/>
      <c r="N9" s="2"/>
      <c r="O9" s="2"/>
      <c r="P9" s="2"/>
      <c r="Q9" s="2"/>
      <c r="R9" s="2"/>
      <c r="S9" s="2"/>
      <c r="T9" s="2"/>
      <c r="U9" s="2"/>
      <c r="V9" s="2"/>
      <c r="W9" s="2"/>
    </row>
    <row r="10" spans="1:23" ht="18" x14ac:dyDescent="0.2">
      <c r="A10" s="2"/>
      <c r="B10" s="2"/>
      <c r="C10" s="3">
        <v>2</v>
      </c>
      <c r="D10" s="14" t="s">
        <v>27</v>
      </c>
      <c r="E10" s="4">
        <v>1.86</v>
      </c>
      <c r="F10" s="2"/>
      <c r="G10" s="2"/>
      <c r="H10" s="2"/>
      <c r="I10" s="15"/>
      <c r="J10" s="2"/>
      <c r="K10" s="2"/>
      <c r="L10" s="2"/>
      <c r="M10" s="2"/>
      <c r="N10" s="2"/>
      <c r="O10" s="2"/>
      <c r="P10" s="2"/>
      <c r="Q10" s="2"/>
      <c r="R10" s="2"/>
      <c r="S10" s="2"/>
      <c r="T10" s="2"/>
      <c r="U10" s="2"/>
      <c r="V10" s="2"/>
      <c r="W10" s="2"/>
    </row>
    <row r="11" spans="1:23" ht="18" x14ac:dyDescent="0.2">
      <c r="A11" s="2"/>
      <c r="B11" s="2"/>
      <c r="C11" s="3">
        <v>3</v>
      </c>
      <c r="D11" s="14" t="s">
        <v>39</v>
      </c>
      <c r="E11" s="4">
        <v>1.92</v>
      </c>
      <c r="F11" s="2"/>
      <c r="G11" s="2"/>
      <c r="H11" s="2"/>
      <c r="I11" s="2"/>
      <c r="J11" s="2"/>
      <c r="K11" s="2"/>
      <c r="L11" s="2"/>
      <c r="M11" s="2"/>
      <c r="N11" s="2"/>
      <c r="O11" s="2"/>
      <c r="P11" s="2"/>
      <c r="Q11" s="2"/>
      <c r="R11" s="2"/>
      <c r="S11" s="2"/>
      <c r="T11" s="2"/>
      <c r="U11" s="2"/>
      <c r="V11" s="2"/>
      <c r="W11" s="2"/>
    </row>
    <row r="12" spans="1:23" ht="18" x14ac:dyDescent="0.2">
      <c r="A12" s="2"/>
      <c r="B12" s="2"/>
      <c r="C12" s="3">
        <v>4</v>
      </c>
      <c r="D12" s="14" t="s">
        <v>40</v>
      </c>
      <c r="E12" s="4">
        <v>1.7</v>
      </c>
      <c r="F12" s="2"/>
      <c r="G12" s="2"/>
      <c r="H12" s="2"/>
      <c r="I12" s="2"/>
      <c r="J12" s="2"/>
      <c r="K12" s="2"/>
      <c r="L12" s="2"/>
      <c r="M12" s="2"/>
      <c r="N12" s="2"/>
      <c r="O12" s="2"/>
      <c r="P12" s="2"/>
      <c r="Q12" s="2"/>
      <c r="R12" s="2"/>
      <c r="S12" s="2"/>
      <c r="T12" s="2"/>
      <c r="U12" s="2"/>
      <c r="V12" s="2"/>
      <c r="W12" s="2"/>
    </row>
    <row r="13" spans="1:23" ht="18" x14ac:dyDescent="0.2">
      <c r="A13" s="2"/>
      <c r="B13" s="2"/>
      <c r="C13" s="3">
        <v>5</v>
      </c>
      <c r="D13" s="14" t="s">
        <v>3</v>
      </c>
      <c r="E13" s="4">
        <v>1.64</v>
      </c>
      <c r="F13" s="2"/>
      <c r="G13" s="2"/>
      <c r="H13" s="2"/>
      <c r="I13" s="2"/>
      <c r="J13" s="2"/>
      <c r="K13" s="2"/>
      <c r="L13" s="2"/>
      <c r="M13" s="2"/>
      <c r="N13" s="5"/>
      <c r="O13" s="2"/>
      <c r="P13" s="2"/>
      <c r="Q13" s="2"/>
      <c r="R13" s="2"/>
      <c r="S13" s="2"/>
      <c r="T13" s="2"/>
      <c r="U13" s="2"/>
      <c r="V13" s="2"/>
      <c r="W13" s="2"/>
    </row>
    <row r="14" spans="1:23" ht="18" x14ac:dyDescent="0.2">
      <c r="A14" s="2"/>
      <c r="B14" s="2"/>
      <c r="C14" s="3">
        <v>6</v>
      </c>
      <c r="D14" s="14" t="s">
        <v>41</v>
      </c>
      <c r="E14" s="4">
        <v>1.61</v>
      </c>
      <c r="F14" s="2"/>
      <c r="G14" s="2"/>
      <c r="H14" s="2"/>
      <c r="I14" s="2"/>
      <c r="J14" s="2"/>
      <c r="K14" s="2"/>
      <c r="L14" s="2"/>
      <c r="M14" s="2"/>
      <c r="N14" s="2"/>
      <c r="O14" s="2"/>
      <c r="P14" s="2"/>
      <c r="Q14" s="2"/>
      <c r="R14" s="2"/>
      <c r="S14" s="2"/>
      <c r="T14" s="2"/>
      <c r="U14" s="2"/>
      <c r="V14" s="2"/>
      <c r="W14" s="2"/>
    </row>
    <row r="15" spans="1:23" ht="18" x14ac:dyDescent="0.2">
      <c r="A15" s="2"/>
      <c r="B15" s="2"/>
      <c r="C15" s="3">
        <v>7</v>
      </c>
      <c r="D15" s="14" t="s">
        <v>42</v>
      </c>
      <c r="E15" s="4">
        <v>1.54</v>
      </c>
      <c r="F15" s="2"/>
      <c r="G15" s="2"/>
      <c r="H15" s="2"/>
      <c r="I15" s="2"/>
      <c r="J15" s="2"/>
      <c r="K15" s="2"/>
      <c r="L15" s="2"/>
      <c r="M15" s="2"/>
      <c r="N15" s="2"/>
      <c r="O15" s="2"/>
      <c r="P15" s="2"/>
      <c r="Q15" s="2"/>
      <c r="R15" s="2"/>
      <c r="S15" s="2"/>
      <c r="T15" s="2"/>
      <c r="U15" s="2"/>
      <c r="V15" s="2"/>
      <c r="W15" s="2"/>
    </row>
    <row r="16" spans="1:23" ht="18" x14ac:dyDescent="0.2">
      <c r="A16" s="2"/>
      <c r="B16" s="2"/>
      <c r="C16" s="3">
        <v>8</v>
      </c>
      <c r="D16" s="14" t="s">
        <v>43</v>
      </c>
      <c r="E16" s="4">
        <v>1.62</v>
      </c>
      <c r="F16" s="2"/>
      <c r="G16" s="2"/>
      <c r="H16" s="2"/>
      <c r="I16" s="2"/>
      <c r="J16" s="2"/>
      <c r="K16" s="2"/>
      <c r="L16" s="2"/>
      <c r="M16" s="2"/>
      <c r="N16" s="2"/>
      <c r="O16" s="2"/>
      <c r="P16" s="2"/>
      <c r="Q16" s="2"/>
      <c r="R16" s="2"/>
      <c r="S16" s="2"/>
      <c r="T16" s="2"/>
      <c r="U16" s="2"/>
      <c r="V16" s="2"/>
      <c r="W16" s="2"/>
    </row>
    <row r="17" spans="1:23" ht="18" x14ac:dyDescent="0.2">
      <c r="A17" s="2"/>
      <c r="B17" s="2"/>
      <c r="C17" s="3">
        <v>9</v>
      </c>
      <c r="D17" s="14" t="s">
        <v>44</v>
      </c>
      <c r="E17" s="4">
        <v>1.69</v>
      </c>
      <c r="F17" s="2"/>
      <c r="G17" s="2"/>
      <c r="H17" s="2"/>
      <c r="I17" s="2"/>
      <c r="J17" s="2"/>
      <c r="K17" s="2"/>
      <c r="L17" s="2"/>
      <c r="M17" s="2"/>
      <c r="N17" s="2"/>
      <c r="O17" s="2"/>
      <c r="P17" s="2"/>
      <c r="Q17" s="2"/>
      <c r="R17" s="2"/>
      <c r="S17" s="2"/>
      <c r="T17" s="2"/>
      <c r="U17" s="2"/>
      <c r="V17" s="2"/>
      <c r="W17" s="2"/>
    </row>
    <row r="18" spans="1:23" ht="18" x14ac:dyDescent="0.2">
      <c r="A18" s="2"/>
      <c r="B18" s="2"/>
      <c r="C18" s="3">
        <v>10</v>
      </c>
      <c r="D18" s="14" t="s">
        <v>38</v>
      </c>
      <c r="E18" s="4">
        <v>1.63</v>
      </c>
      <c r="F18" s="2"/>
      <c r="G18" s="2"/>
      <c r="H18" s="2"/>
      <c r="I18" s="2"/>
      <c r="J18" s="2"/>
      <c r="K18" s="2"/>
      <c r="L18" s="2"/>
      <c r="M18" s="2"/>
      <c r="N18" s="2"/>
      <c r="O18" s="2"/>
      <c r="P18" s="2"/>
      <c r="Q18" s="2"/>
      <c r="R18" s="2"/>
      <c r="S18" s="2"/>
      <c r="T18" s="2"/>
      <c r="U18" s="2"/>
      <c r="V18" s="2"/>
      <c r="W18" s="2"/>
    </row>
    <row r="19" spans="1:23" ht="18" x14ac:dyDescent="0.2">
      <c r="A19" s="2"/>
      <c r="B19" s="2"/>
      <c r="C19" s="3">
        <v>11</v>
      </c>
      <c r="D19" s="14" t="s">
        <v>37</v>
      </c>
      <c r="E19" s="4">
        <v>1.73</v>
      </c>
      <c r="F19" s="2"/>
      <c r="G19" s="2"/>
      <c r="H19" s="2"/>
      <c r="I19" s="2"/>
      <c r="J19" s="2"/>
      <c r="K19" s="2"/>
      <c r="L19" s="2"/>
      <c r="M19" s="2"/>
      <c r="N19" s="2"/>
      <c r="O19" s="2"/>
      <c r="P19" s="2"/>
      <c r="Q19" s="2"/>
      <c r="R19" s="2"/>
      <c r="S19" s="2"/>
      <c r="T19" s="2"/>
      <c r="U19" s="2"/>
      <c r="V19" s="2"/>
      <c r="W19" s="2"/>
    </row>
    <row r="20" spans="1:23" ht="18" x14ac:dyDescent="0.2">
      <c r="A20" s="2"/>
      <c r="B20" s="2"/>
      <c r="C20" s="3">
        <v>12</v>
      </c>
      <c r="D20" s="14" t="s">
        <v>36</v>
      </c>
      <c r="E20" s="4">
        <v>1.85</v>
      </c>
      <c r="F20" s="2"/>
      <c r="G20" s="2"/>
      <c r="H20" s="2"/>
      <c r="I20" s="2"/>
      <c r="J20" s="2"/>
      <c r="K20" s="2"/>
      <c r="L20" s="2"/>
      <c r="M20" s="2"/>
      <c r="N20" s="2"/>
      <c r="O20" s="2"/>
      <c r="P20" s="2"/>
      <c r="Q20" s="2"/>
      <c r="R20" s="2"/>
      <c r="S20" s="2"/>
      <c r="T20" s="2"/>
      <c r="U20" s="2"/>
      <c r="V20" s="2"/>
      <c r="W20" s="2"/>
    </row>
    <row r="21" spans="1:23" x14ac:dyDescent="0.2">
      <c r="A21" s="2"/>
      <c r="B21" s="2"/>
      <c r="C21" s="6"/>
      <c r="D21" s="2"/>
      <c r="E21" s="2"/>
      <c r="F21" s="2"/>
      <c r="G21" s="2"/>
      <c r="H21" s="2"/>
      <c r="I21" s="2"/>
      <c r="J21" s="2"/>
      <c r="K21" s="2"/>
      <c r="L21" s="2"/>
      <c r="M21" s="2"/>
      <c r="N21" s="2"/>
      <c r="O21" s="2"/>
      <c r="P21" s="2"/>
      <c r="Q21" s="2"/>
      <c r="R21" s="2"/>
      <c r="S21" s="2"/>
      <c r="T21" s="2"/>
      <c r="U21" s="2"/>
      <c r="V21" s="2"/>
      <c r="W21" s="2"/>
    </row>
    <row r="22" spans="1:23" x14ac:dyDescent="0.2">
      <c r="A22" s="2"/>
      <c r="B22" s="2"/>
      <c r="C22" s="2"/>
      <c r="D22" s="2"/>
      <c r="E22" s="2"/>
      <c r="F22" s="2"/>
      <c r="G22" s="2"/>
      <c r="H22" s="2"/>
      <c r="I22" s="2"/>
      <c r="J22" s="2"/>
      <c r="K22" s="2"/>
      <c r="L22" s="2"/>
      <c r="M22" s="2"/>
      <c r="N22" s="2"/>
      <c r="O22" s="2"/>
      <c r="P22" s="2"/>
      <c r="Q22" s="2"/>
      <c r="R22" s="2"/>
      <c r="S22" s="2"/>
      <c r="T22" s="2"/>
      <c r="U22" s="2"/>
      <c r="V22" s="2"/>
      <c r="W22" s="2"/>
    </row>
    <row r="23" spans="1:23" x14ac:dyDescent="0.2">
      <c r="A23" s="21" t="s">
        <v>9</v>
      </c>
      <c r="B23" s="2"/>
      <c r="C23" s="2"/>
      <c r="D23" s="2"/>
      <c r="E23" s="2"/>
      <c r="F23" s="2"/>
      <c r="G23" s="2"/>
      <c r="H23" s="2"/>
      <c r="I23" s="2"/>
      <c r="J23" s="2"/>
      <c r="K23" s="2"/>
      <c r="L23" s="2"/>
      <c r="M23" s="2"/>
      <c r="N23" s="2"/>
      <c r="O23" s="2"/>
      <c r="P23" s="2"/>
      <c r="Q23" s="2"/>
      <c r="R23" s="2"/>
      <c r="S23" s="2"/>
      <c r="T23" s="2"/>
      <c r="U23" s="2"/>
      <c r="V23" s="2"/>
      <c r="W23" s="2"/>
    </row>
    <row r="24" spans="1:23" x14ac:dyDescent="0.2">
      <c r="A24" s="27" t="s">
        <v>10</v>
      </c>
      <c r="B24" s="27"/>
      <c r="C24" s="9">
        <f>AVERAGE(E9:E20)</f>
        <v>1.7283333333333335</v>
      </c>
      <c r="D24" s="2"/>
      <c r="E24" s="2"/>
      <c r="F24" s="2"/>
      <c r="G24" s="2"/>
      <c r="H24" s="2"/>
      <c r="I24" s="2"/>
      <c r="J24" s="2"/>
      <c r="K24" s="2"/>
      <c r="L24" s="2"/>
      <c r="M24" s="2"/>
      <c r="N24" s="2"/>
      <c r="O24" s="2"/>
      <c r="P24" s="2"/>
      <c r="Q24" s="2"/>
      <c r="R24" s="2"/>
      <c r="S24" s="2"/>
      <c r="T24" s="2"/>
      <c r="U24" s="2"/>
      <c r="V24" s="2"/>
      <c r="W24" s="2"/>
    </row>
    <row r="25" spans="1:23" x14ac:dyDescent="0.2">
      <c r="A25" s="28" t="s">
        <v>11</v>
      </c>
      <c r="B25" s="28"/>
      <c r="C25" s="9">
        <f>_xlfn.VAR.S(E9:E20)</f>
        <v>1.8087878787878785E-2</v>
      </c>
      <c r="D25" s="2"/>
      <c r="E25" s="2"/>
      <c r="F25" s="2"/>
      <c r="G25" s="2"/>
      <c r="H25" s="2"/>
      <c r="I25" s="2"/>
      <c r="J25" s="2"/>
      <c r="K25" s="2"/>
      <c r="L25" s="2"/>
      <c r="M25" s="2"/>
      <c r="N25" s="2"/>
      <c r="O25" s="2"/>
      <c r="P25" s="2"/>
      <c r="Q25" s="2"/>
      <c r="R25" s="2"/>
      <c r="S25" s="2"/>
      <c r="T25" s="2"/>
      <c r="U25" s="2"/>
      <c r="V25" s="2"/>
      <c r="W25" s="2"/>
    </row>
    <row r="26" spans="1:23" x14ac:dyDescent="0.2">
      <c r="A26" s="28" t="s">
        <v>12</v>
      </c>
      <c r="B26" s="28"/>
      <c r="C26" s="9">
        <f>_xlfn.STDEV.S(E9:E20)</f>
        <v>0.13449118479617458</v>
      </c>
      <c r="D26" s="2"/>
      <c r="E26" s="2"/>
      <c r="F26" s="2"/>
      <c r="G26" s="2"/>
      <c r="H26" s="2"/>
      <c r="I26" s="2"/>
      <c r="J26" s="2"/>
      <c r="K26" s="2"/>
      <c r="L26" s="2"/>
      <c r="M26" s="2"/>
      <c r="N26" s="2"/>
      <c r="O26" s="2"/>
      <c r="P26" s="2"/>
      <c r="Q26" s="2"/>
      <c r="R26" s="2"/>
      <c r="S26" s="2"/>
      <c r="T26" s="2"/>
      <c r="U26" s="2"/>
      <c r="V26" s="2"/>
      <c r="W26" s="2"/>
    </row>
    <row r="27" spans="1:23" x14ac:dyDescent="0.2">
      <c r="A27" s="2"/>
      <c r="B27" s="2"/>
      <c r="C27" s="2"/>
      <c r="D27" s="2"/>
      <c r="E27" s="2"/>
      <c r="F27" s="2"/>
      <c r="G27" s="2"/>
      <c r="H27" s="2"/>
      <c r="I27" s="2"/>
      <c r="J27" s="2"/>
      <c r="K27" s="2"/>
      <c r="L27" s="2"/>
      <c r="M27" s="2"/>
      <c r="N27" s="2"/>
      <c r="O27" s="2"/>
      <c r="P27" s="2"/>
      <c r="Q27" s="2"/>
      <c r="R27" s="2"/>
      <c r="S27" s="2"/>
      <c r="T27" s="2"/>
      <c r="U27" s="2"/>
      <c r="V27" s="2"/>
      <c r="W27" s="2"/>
    </row>
    <row r="28" spans="1:23" x14ac:dyDescent="0.2">
      <c r="A28" s="21" t="s">
        <v>26</v>
      </c>
      <c r="B28" s="2"/>
      <c r="C28" s="2"/>
      <c r="D28" s="2"/>
      <c r="E28" s="2"/>
      <c r="F28" s="2"/>
      <c r="G28" s="2"/>
      <c r="H28" s="2"/>
      <c r="I28" s="2"/>
      <c r="J28" s="2"/>
      <c r="K28" s="2"/>
      <c r="L28" s="2"/>
      <c r="M28" s="2"/>
      <c r="N28" s="2"/>
      <c r="O28" s="2"/>
      <c r="P28" s="2"/>
      <c r="Q28" s="2"/>
      <c r="R28" s="2"/>
      <c r="S28" s="2"/>
      <c r="T28" s="2"/>
      <c r="U28" s="2"/>
      <c r="V28" s="2"/>
      <c r="W28" s="2"/>
    </row>
    <row r="29" spans="1:23" x14ac:dyDescent="0.2">
      <c r="A29" s="29">
        <f>(E9-$C$24)/ $C$26</f>
        <v>1.6481873291740936</v>
      </c>
      <c r="B29" s="29"/>
      <c r="C29" s="28">
        <f>(E10 - $C$24)/ $C$26</f>
        <v>0.9789984887575448</v>
      </c>
      <c r="D29" s="28"/>
      <c r="E29" s="2">
        <f>(E11 - $C$24)/ $C$26</f>
        <v>1.4251243823685769</v>
      </c>
      <c r="F29" s="28">
        <f>(E12 - $C$24)/ $C$26</f>
        <v>-0.21067056087187838</v>
      </c>
      <c r="G29" s="28"/>
      <c r="H29" s="28">
        <f>(E13 -$C$24)/ $C$26</f>
        <v>-0.65679645448291213</v>
      </c>
      <c r="I29" s="28"/>
      <c r="J29" s="28">
        <f>(E14 - $C$24)/ $C$26</f>
        <v>-0.87985940128842721</v>
      </c>
      <c r="K29" s="28"/>
      <c r="L29" s="28">
        <f>(E15 - $C$24)/ $C$26</f>
        <v>-1.4003396105013</v>
      </c>
      <c r="M29" s="28"/>
      <c r="N29" s="28">
        <f>(E16 - $C$24)/$C$26</f>
        <v>-0.8055050856865883</v>
      </c>
      <c r="O29" s="28"/>
      <c r="P29" s="28">
        <f>(E17 - $C$24)/$C$26</f>
        <v>-0.28502487647371733</v>
      </c>
      <c r="Q29" s="28"/>
      <c r="R29" s="28">
        <f>(E18 -$C$24)/ $C$26</f>
        <v>-0.73115077008475104</v>
      </c>
      <c r="S29" s="28"/>
      <c r="T29" s="28">
        <f>(E19 - $C$24)/ $C$26</f>
        <v>1.2392385933638448E-2</v>
      </c>
      <c r="U29" s="28"/>
      <c r="V29" s="28">
        <f>(E20 -$C$24)/$C$26</f>
        <v>0.90464417315570578</v>
      </c>
      <c r="W29" s="28"/>
    </row>
    <row r="30" spans="1:23" x14ac:dyDescent="0.2">
      <c r="A30" s="7"/>
      <c r="B30" s="2"/>
      <c r="C30" s="2"/>
      <c r="D30" s="2"/>
      <c r="E30" s="2"/>
      <c r="F30" s="2"/>
      <c r="G30" s="2"/>
      <c r="H30" s="2"/>
      <c r="I30" s="2"/>
      <c r="J30" s="2"/>
      <c r="K30" s="2"/>
      <c r="L30" s="2"/>
      <c r="M30" s="2"/>
      <c r="N30" s="2"/>
      <c r="O30" s="2"/>
      <c r="P30" s="2"/>
      <c r="Q30" s="2"/>
      <c r="R30" s="2"/>
      <c r="S30" s="2"/>
      <c r="T30" s="2"/>
      <c r="U30" s="2"/>
      <c r="V30" s="2"/>
      <c r="W30" s="2"/>
    </row>
    <row r="31" spans="1:23" x14ac:dyDescent="0.2">
      <c r="A31" t="s">
        <v>29</v>
      </c>
      <c r="D31" s="2"/>
      <c r="E31" s="2"/>
      <c r="F31" s="2"/>
      <c r="G31" s="2"/>
      <c r="H31" s="2"/>
      <c r="I31" s="2"/>
      <c r="J31" s="2"/>
      <c r="K31" s="2"/>
      <c r="L31" s="2"/>
      <c r="M31" s="2"/>
      <c r="N31" s="2"/>
      <c r="O31" s="2"/>
      <c r="P31" s="2"/>
      <c r="Q31" s="2"/>
      <c r="R31" s="2"/>
      <c r="S31" s="2"/>
      <c r="T31" s="2"/>
      <c r="U31" s="2"/>
      <c r="V31" s="2"/>
      <c r="W31" s="2"/>
    </row>
    <row r="32" spans="1:23" x14ac:dyDescent="0.2">
      <c r="A32" t="s">
        <v>30</v>
      </c>
      <c r="D32" s="2"/>
      <c r="E32" s="2"/>
      <c r="F32" s="2"/>
      <c r="G32" s="2"/>
      <c r="H32" s="2"/>
      <c r="I32" s="2"/>
      <c r="J32" s="2"/>
      <c r="K32" s="2"/>
      <c r="L32" s="2"/>
      <c r="M32" s="2"/>
      <c r="N32" s="2"/>
      <c r="O32" s="2"/>
      <c r="P32" s="2"/>
      <c r="Q32" s="2"/>
      <c r="R32" s="2"/>
      <c r="S32" s="2"/>
      <c r="T32" s="2"/>
      <c r="U32" s="2"/>
      <c r="V32" s="2"/>
      <c r="W32" s="2"/>
    </row>
    <row r="33" spans="1:23" x14ac:dyDescent="0.2">
      <c r="A33" s="26" t="s">
        <v>31</v>
      </c>
      <c r="B33" s="27"/>
      <c r="C33" s="27"/>
      <c r="D33" s="27"/>
      <c r="E33" s="27"/>
      <c r="F33" s="27"/>
      <c r="G33" s="2"/>
      <c r="H33" s="2"/>
      <c r="I33" s="2"/>
      <c r="J33" s="2"/>
      <c r="K33" s="2"/>
      <c r="L33" s="2"/>
      <c r="M33" s="2"/>
      <c r="N33" s="2"/>
      <c r="O33" s="2"/>
      <c r="P33" s="2"/>
      <c r="Q33" s="2"/>
      <c r="R33" s="2"/>
      <c r="S33" s="2"/>
      <c r="T33" s="2"/>
      <c r="U33" s="2"/>
      <c r="V33" s="2"/>
      <c r="W33" s="2"/>
    </row>
    <row r="34" spans="1:23" x14ac:dyDescent="0.2">
      <c r="A34" s="27"/>
      <c r="B34" s="27"/>
      <c r="C34" s="27"/>
      <c r="D34" s="27"/>
      <c r="E34" s="27"/>
      <c r="F34" s="27"/>
      <c r="G34" s="2"/>
      <c r="H34" s="2"/>
      <c r="I34" s="2"/>
      <c r="J34" s="2"/>
      <c r="K34" s="2"/>
      <c r="L34" s="2"/>
      <c r="M34" s="2"/>
      <c r="N34" s="2"/>
      <c r="O34" s="2"/>
      <c r="P34" s="2"/>
      <c r="Q34" s="2"/>
      <c r="R34" s="2"/>
      <c r="S34" s="2"/>
      <c r="T34" s="2"/>
      <c r="U34" s="2"/>
      <c r="V34" s="2"/>
      <c r="W34" s="2"/>
    </row>
    <row r="35" spans="1:23" x14ac:dyDescent="0.2">
      <c r="A35" s="2" t="s">
        <v>32</v>
      </c>
      <c r="B35" s="2"/>
      <c r="C35" s="2"/>
      <c r="D35" s="2"/>
      <c r="E35" s="2"/>
      <c r="F35" s="2"/>
      <c r="G35" s="2"/>
      <c r="H35" s="2"/>
      <c r="I35" s="8"/>
      <c r="J35" s="2"/>
      <c r="K35" s="2"/>
      <c r="L35" s="2"/>
      <c r="M35" s="2"/>
      <c r="N35" s="2"/>
      <c r="O35" s="2"/>
      <c r="P35" s="2"/>
      <c r="Q35" s="2"/>
      <c r="R35" s="2"/>
      <c r="S35" s="2"/>
      <c r="T35" s="2"/>
      <c r="U35" s="2"/>
      <c r="V35" s="2"/>
      <c r="W35" s="2"/>
    </row>
    <row r="36" spans="1:23" x14ac:dyDescent="0.2">
      <c r="A36" s="26" t="s">
        <v>33</v>
      </c>
      <c r="B36" s="27"/>
      <c r="C36" s="27"/>
      <c r="D36" s="27"/>
      <c r="E36" s="27"/>
      <c r="F36" s="27"/>
      <c r="G36" s="27"/>
      <c r="H36" s="2"/>
      <c r="I36" s="2"/>
      <c r="J36" s="2"/>
      <c r="K36" s="2"/>
      <c r="L36" s="2"/>
      <c r="M36" s="2"/>
      <c r="N36" s="2"/>
      <c r="O36" s="2"/>
      <c r="P36" s="2"/>
      <c r="Q36" s="2"/>
      <c r="R36" s="2"/>
      <c r="S36" s="2"/>
      <c r="T36" s="2"/>
      <c r="U36" s="2"/>
      <c r="V36" s="2"/>
      <c r="W36" s="2"/>
    </row>
    <row r="37" spans="1:23" x14ac:dyDescent="0.2">
      <c r="A37" s="27"/>
      <c r="B37" s="27"/>
      <c r="C37" s="27"/>
      <c r="D37" s="27"/>
      <c r="E37" s="27"/>
      <c r="F37" s="27"/>
      <c r="G37" s="27"/>
      <c r="H37" s="2"/>
      <c r="I37" s="2"/>
      <c r="J37" s="2"/>
      <c r="K37" s="2"/>
      <c r="L37" s="2"/>
      <c r="M37" s="2"/>
      <c r="N37" s="2"/>
      <c r="O37" s="2"/>
      <c r="P37" s="2"/>
      <c r="Q37" s="2"/>
      <c r="R37" s="2"/>
      <c r="S37" s="2"/>
      <c r="T37" s="2"/>
      <c r="U37" s="2"/>
      <c r="V37" s="2"/>
      <c r="W37" s="2"/>
    </row>
    <row r="38" spans="1:23" x14ac:dyDescent="0.2">
      <c r="A38" s="2" t="s">
        <v>34</v>
      </c>
      <c r="B38" s="2"/>
      <c r="C38" s="2"/>
      <c r="D38" s="2"/>
      <c r="E38" s="2"/>
      <c r="F38" s="2"/>
      <c r="G38" s="2"/>
      <c r="H38" s="2"/>
      <c r="I38" s="2"/>
      <c r="J38" s="2"/>
      <c r="K38" s="2"/>
      <c r="L38" s="2"/>
      <c r="M38" s="2"/>
      <c r="N38" s="2"/>
      <c r="O38" s="2"/>
      <c r="P38" s="2"/>
      <c r="Q38" s="2"/>
      <c r="R38" s="2"/>
      <c r="S38" s="2"/>
      <c r="T38" s="2"/>
      <c r="U38" s="2"/>
      <c r="V38" s="2"/>
      <c r="W38" s="2"/>
    </row>
    <row r="39" spans="1:23" x14ac:dyDescent="0.2">
      <c r="A39" t="s">
        <v>35</v>
      </c>
      <c r="D39" s="2"/>
      <c r="E39" s="2"/>
      <c r="F39" s="2"/>
      <c r="G39" s="2"/>
      <c r="H39" s="2"/>
      <c r="I39" s="2"/>
      <c r="J39" s="2"/>
      <c r="K39" s="2"/>
      <c r="L39" s="2"/>
      <c r="M39" s="2"/>
      <c r="N39" s="2"/>
      <c r="O39" s="2"/>
      <c r="P39" s="2"/>
      <c r="Q39" s="2"/>
      <c r="R39" s="2"/>
      <c r="S39" s="2"/>
      <c r="T39" s="2"/>
      <c r="U39" s="2"/>
      <c r="V39" s="2"/>
      <c r="W39" s="2"/>
    </row>
    <row r="40" spans="1:23" x14ac:dyDescent="0.2">
      <c r="F40" s="2"/>
      <c r="G40" s="2"/>
      <c r="H40" s="2"/>
      <c r="I40" s="2"/>
      <c r="J40" s="2"/>
      <c r="K40" s="2"/>
      <c r="L40" s="2"/>
      <c r="M40" s="2"/>
      <c r="N40" s="2"/>
      <c r="O40" s="2"/>
      <c r="P40" s="2"/>
      <c r="Q40" s="2"/>
      <c r="R40" s="2"/>
      <c r="S40" s="2"/>
      <c r="T40" s="2"/>
      <c r="U40" s="2"/>
      <c r="V40" s="2"/>
      <c r="W40" s="2"/>
    </row>
    <row r="41" spans="1:23" x14ac:dyDescent="0.2">
      <c r="A41" s="21" t="s">
        <v>13</v>
      </c>
      <c r="B41" s="2"/>
      <c r="C41" s="2"/>
      <c r="D41" s="2"/>
      <c r="E41" s="2"/>
      <c r="F41" s="2"/>
      <c r="G41" s="2"/>
      <c r="H41" s="2"/>
      <c r="I41" s="2"/>
      <c r="J41" s="2"/>
      <c r="K41" s="2"/>
      <c r="L41" s="2"/>
      <c r="M41" s="2"/>
      <c r="N41" s="2"/>
      <c r="O41" s="2"/>
      <c r="P41" s="2"/>
      <c r="Q41" s="2"/>
      <c r="R41" s="2"/>
      <c r="S41" s="2"/>
      <c r="T41" s="2"/>
      <c r="U41" s="2"/>
      <c r="V41" s="2"/>
      <c r="W41" s="2"/>
    </row>
    <row r="42" spans="1:23" ht="15" customHeight="1" x14ac:dyDescent="0.2">
      <c r="A42" s="19">
        <f>COUNTIF(E9:E20, "&gt;1,7")/12</f>
        <v>0</v>
      </c>
      <c r="B42" s="18"/>
      <c r="C42" s="17"/>
      <c r="D42" s="2"/>
      <c r="E42" s="2"/>
      <c r="F42" s="2"/>
      <c r="G42" s="2"/>
      <c r="H42" s="2"/>
      <c r="I42" s="2"/>
      <c r="J42" s="2"/>
      <c r="K42" s="2"/>
      <c r="L42" s="2"/>
      <c r="M42" s="2"/>
      <c r="N42" s="2"/>
      <c r="O42" s="2"/>
      <c r="P42" s="2"/>
      <c r="Q42" s="2"/>
      <c r="R42" s="2"/>
      <c r="S42" s="2"/>
      <c r="T42" s="2"/>
      <c r="U42" s="2"/>
      <c r="V42" s="2"/>
      <c r="W42" s="2"/>
    </row>
    <row r="43" spans="1:23" x14ac:dyDescent="0.2">
      <c r="A43" s="21" t="s">
        <v>14</v>
      </c>
      <c r="B43" s="7"/>
      <c r="C43" s="2"/>
      <c r="D43" s="2"/>
      <c r="E43" s="2"/>
      <c r="F43" s="2"/>
      <c r="G43" s="2"/>
      <c r="H43" s="2"/>
      <c r="I43" s="2"/>
      <c r="J43" s="2"/>
      <c r="K43" s="2"/>
      <c r="L43" s="2"/>
      <c r="M43" s="2"/>
      <c r="N43" s="2"/>
      <c r="O43" s="2"/>
      <c r="P43" s="2"/>
      <c r="Q43" s="2"/>
      <c r="R43" s="2"/>
      <c r="S43" s="2"/>
      <c r="T43" s="2"/>
      <c r="U43" s="2"/>
      <c r="V43" s="2"/>
      <c r="W43" s="2"/>
    </row>
    <row r="44" spans="1:23" x14ac:dyDescent="0.2">
      <c r="A44" s="2">
        <v>5</v>
      </c>
      <c r="B44" s="8" t="s">
        <v>15</v>
      </c>
      <c r="C44" s="8"/>
      <c r="D44" s="8"/>
      <c r="E44" s="8"/>
      <c r="F44" s="2"/>
      <c r="G44" s="2"/>
      <c r="H44" s="2"/>
      <c r="I44" s="2"/>
      <c r="J44" s="2"/>
      <c r="K44" s="2"/>
      <c r="L44" s="2"/>
      <c r="M44" s="2"/>
      <c r="N44" s="2"/>
      <c r="O44" s="2"/>
      <c r="P44" s="2"/>
      <c r="Q44" s="2"/>
      <c r="R44" s="2"/>
      <c r="S44" s="2"/>
      <c r="T44" s="2"/>
      <c r="U44" s="2"/>
      <c r="V44" s="2"/>
      <c r="W44" s="2"/>
    </row>
    <row r="45" spans="1:23" x14ac:dyDescent="0.2">
      <c r="A45" s="2">
        <v>1</v>
      </c>
      <c r="B45" s="8" t="s">
        <v>16</v>
      </c>
      <c r="C45" s="8"/>
      <c r="D45" s="8"/>
      <c r="E45" s="8"/>
      <c r="F45" s="2"/>
      <c r="G45" s="2"/>
      <c r="H45" s="2"/>
      <c r="I45" s="2"/>
      <c r="J45" s="2"/>
      <c r="K45" s="2"/>
      <c r="L45" s="2"/>
      <c r="M45" s="2"/>
      <c r="N45" s="2"/>
      <c r="O45" s="2"/>
      <c r="P45" s="2"/>
      <c r="Q45" s="2"/>
      <c r="R45" s="2"/>
      <c r="S45" s="2"/>
      <c r="T45" s="2"/>
      <c r="U45" s="2"/>
      <c r="V45" s="2"/>
      <c r="W45" s="2"/>
    </row>
    <row r="46" spans="1:23" x14ac:dyDescent="0.2">
      <c r="A46" s="9">
        <f>(COUNTIF(E9:E20,"&gt;1,7")+COUNTIF(E9:E20,"&lt;1,6"))/12</f>
        <v>0</v>
      </c>
      <c r="B46" s="2" t="s">
        <v>17</v>
      </c>
      <c r="C46" s="2"/>
      <c r="D46" s="2"/>
      <c r="E46" s="2"/>
      <c r="F46" s="2"/>
      <c r="G46" s="2"/>
      <c r="H46" s="2"/>
      <c r="I46" s="2"/>
      <c r="J46" s="2"/>
      <c r="K46" s="2"/>
      <c r="L46" s="2"/>
      <c r="M46" s="2"/>
      <c r="N46" s="2"/>
      <c r="O46" s="2"/>
      <c r="P46" s="2"/>
      <c r="Q46" s="2"/>
      <c r="R46" s="2"/>
      <c r="S46" s="2"/>
      <c r="T46" s="2"/>
      <c r="U46" s="2"/>
      <c r="V46" s="2"/>
      <c r="W46" s="2"/>
    </row>
    <row r="47" spans="1:23" ht="15" customHeight="1" x14ac:dyDescent="0.2">
      <c r="A47" s="21" t="s">
        <v>18</v>
      </c>
      <c r="B47" s="2"/>
      <c r="C47" s="2"/>
      <c r="D47" s="2"/>
      <c r="E47" s="2"/>
      <c r="F47" s="2"/>
      <c r="G47" s="2"/>
      <c r="H47" s="2"/>
      <c r="I47" s="2"/>
      <c r="J47" s="2"/>
      <c r="K47" s="2"/>
      <c r="L47" s="2"/>
      <c r="M47" s="2"/>
      <c r="N47" s="2"/>
      <c r="O47" s="2"/>
      <c r="P47" s="2"/>
      <c r="Q47" s="2"/>
      <c r="R47" s="2"/>
      <c r="S47" s="2"/>
      <c r="T47" s="2"/>
      <c r="U47" s="2"/>
      <c r="V47" s="2"/>
      <c r="W47" s="2"/>
    </row>
    <row r="48" spans="1:23" x14ac:dyDescent="0.2">
      <c r="A48" s="27" t="s">
        <v>19</v>
      </c>
      <c r="B48" s="27"/>
      <c r="C48" s="27"/>
      <c r="D48" s="27"/>
      <c r="E48" s="2"/>
      <c r="F48" s="2"/>
      <c r="G48" s="2"/>
      <c r="H48" s="2"/>
      <c r="I48" s="2"/>
      <c r="J48" s="2"/>
      <c r="K48" s="2"/>
      <c r="L48" s="2"/>
      <c r="M48" s="2"/>
      <c r="N48" s="2"/>
      <c r="O48" s="2"/>
      <c r="P48" s="2"/>
      <c r="Q48" s="2"/>
      <c r="R48" s="2"/>
      <c r="S48" s="2"/>
      <c r="T48" s="2"/>
      <c r="U48" s="2"/>
      <c r="V48" s="2"/>
      <c r="W48" s="2"/>
    </row>
    <row r="49" spans="1:23" x14ac:dyDescent="0.2">
      <c r="A49" s="21" t="s">
        <v>20</v>
      </c>
      <c r="B49" s="2"/>
      <c r="C49" s="2"/>
      <c r="D49" s="2"/>
      <c r="E49" s="2"/>
      <c r="F49" s="2"/>
      <c r="G49" s="2"/>
      <c r="H49" s="2"/>
      <c r="I49" s="2"/>
      <c r="J49" s="2"/>
      <c r="K49" s="2"/>
      <c r="L49" s="2"/>
      <c r="M49" s="2"/>
      <c r="N49" s="2"/>
      <c r="O49" s="2"/>
      <c r="P49" s="2"/>
      <c r="Q49" s="2"/>
      <c r="R49" s="2"/>
      <c r="S49" s="2"/>
      <c r="T49" s="2"/>
      <c r="U49" s="2"/>
      <c r="V49" s="2"/>
      <c r="W49" s="2"/>
    </row>
    <row r="50" spans="1:23" ht="89.25" customHeight="1" x14ac:dyDescent="0.2">
      <c r="A50" s="22" t="s">
        <v>21</v>
      </c>
      <c r="B50" s="22"/>
      <c r="C50" s="22"/>
      <c r="D50" s="22"/>
      <c r="E50" s="10"/>
      <c r="F50" s="10"/>
      <c r="G50" s="10"/>
      <c r="H50" s="2"/>
      <c r="I50" s="2"/>
      <c r="J50" s="2"/>
      <c r="K50" s="2"/>
      <c r="L50" s="2"/>
      <c r="M50" s="2"/>
      <c r="N50" s="2"/>
      <c r="O50" s="2"/>
      <c r="P50" s="2"/>
      <c r="Q50" s="2"/>
      <c r="R50" s="2"/>
      <c r="S50" s="2"/>
      <c r="T50" s="2"/>
      <c r="U50" s="2"/>
      <c r="V50" s="2"/>
      <c r="W50" s="2"/>
    </row>
    <row r="51" spans="1:23" x14ac:dyDescent="0.2">
      <c r="A51" s="10"/>
      <c r="B51" s="10"/>
      <c r="C51" s="10"/>
      <c r="D51" s="10"/>
      <c r="E51" s="10"/>
      <c r="F51" s="10"/>
      <c r="G51" s="10"/>
      <c r="H51" s="2"/>
      <c r="I51" s="2"/>
      <c r="J51" s="2"/>
      <c r="K51" s="2"/>
      <c r="L51" s="2"/>
      <c r="M51" s="2"/>
      <c r="N51" s="2"/>
      <c r="O51" s="2"/>
      <c r="P51" s="2"/>
      <c r="Q51" s="2"/>
      <c r="R51" s="2"/>
      <c r="S51" s="2"/>
      <c r="T51" s="2"/>
      <c r="U51" s="2"/>
      <c r="V51" s="2"/>
      <c r="W51" s="2"/>
    </row>
    <row r="52" spans="1:23" x14ac:dyDescent="0.2">
      <c r="A52" s="2" t="s">
        <v>22</v>
      </c>
      <c r="B52" s="2"/>
      <c r="C52" s="2"/>
      <c r="D52" s="2"/>
      <c r="E52" s="2"/>
      <c r="F52" s="2"/>
      <c r="G52" s="2"/>
      <c r="H52" s="2"/>
      <c r="I52" s="2"/>
      <c r="J52" s="2"/>
      <c r="K52" s="2"/>
      <c r="L52" s="2"/>
      <c r="M52" s="2"/>
      <c r="N52" s="2"/>
      <c r="O52" s="2"/>
      <c r="P52" s="2"/>
      <c r="Q52" s="2"/>
      <c r="R52" s="2"/>
      <c r="S52" s="2"/>
      <c r="T52" s="2"/>
      <c r="U52" s="2"/>
      <c r="V52" s="2"/>
      <c r="W52" s="2"/>
    </row>
    <row r="53" spans="1:23" x14ac:dyDescent="0.2">
      <c r="A53" s="17">
        <v>1.89E-2</v>
      </c>
      <c r="B53" s="11"/>
      <c r="C53" s="12" t="s">
        <v>23</v>
      </c>
      <c r="D53" s="2"/>
      <c r="E53" s="2"/>
      <c r="F53" s="2"/>
      <c r="G53" s="2"/>
      <c r="H53" s="2"/>
      <c r="I53" s="2"/>
      <c r="J53" s="2"/>
      <c r="K53" s="2"/>
      <c r="L53" s="2"/>
      <c r="M53" s="2"/>
      <c r="N53" s="2"/>
      <c r="O53" s="2"/>
      <c r="P53" s="2"/>
      <c r="Q53" s="2"/>
      <c r="R53" s="2"/>
      <c r="S53" s="2"/>
      <c r="T53" s="2"/>
      <c r="U53" s="2"/>
      <c r="V53" s="2"/>
      <c r="W53" s="2"/>
    </row>
    <row r="54" spans="1:23" x14ac:dyDescent="0.2">
      <c r="A54" s="2" t="s">
        <v>24</v>
      </c>
      <c r="B54" s="2"/>
      <c r="C54" s="2"/>
      <c r="D54" s="2"/>
      <c r="E54" s="2"/>
      <c r="F54" s="2"/>
      <c r="G54" s="2"/>
      <c r="H54" s="2"/>
      <c r="I54" s="2"/>
      <c r="J54" s="2"/>
      <c r="K54" s="2"/>
      <c r="L54" s="2"/>
      <c r="M54" s="2"/>
      <c r="N54" s="2"/>
      <c r="O54" s="2"/>
      <c r="P54" s="2"/>
      <c r="Q54" s="2"/>
      <c r="R54" s="2"/>
      <c r="S54" s="2"/>
      <c r="T54" s="2"/>
      <c r="U54" s="2"/>
      <c r="V54" s="2"/>
      <c r="W54" s="2"/>
    </row>
    <row r="55" spans="1:23" ht="97.5" customHeight="1" x14ac:dyDescent="0.2">
      <c r="A55" s="22" t="s">
        <v>25</v>
      </c>
      <c r="B55" s="22"/>
      <c r="C55" s="22"/>
      <c r="D55" s="22"/>
      <c r="E55" s="22"/>
      <c r="F55" s="2"/>
      <c r="G55" s="2"/>
      <c r="H55" s="2"/>
      <c r="I55" s="2"/>
      <c r="J55" s="2"/>
      <c r="K55" s="2"/>
      <c r="L55" s="2"/>
      <c r="M55" s="2"/>
      <c r="N55" s="2"/>
      <c r="O55" s="2"/>
      <c r="P55" s="2"/>
      <c r="Q55" s="2"/>
      <c r="R55" s="2"/>
      <c r="S55" s="2"/>
      <c r="T55" s="2"/>
      <c r="U55" s="2"/>
      <c r="V55" s="2"/>
      <c r="W55" s="2"/>
    </row>
    <row r="56" spans="1:23" x14ac:dyDescent="0.2">
      <c r="A56" s="1"/>
      <c r="B56" s="1"/>
      <c r="C56" s="1"/>
      <c r="D56" s="1"/>
      <c r="E56" s="1"/>
    </row>
    <row r="57" spans="1:23" x14ac:dyDescent="0.2">
      <c r="A57" s="1"/>
      <c r="B57" s="1"/>
      <c r="C57" s="1"/>
      <c r="D57" s="1"/>
      <c r="E57" s="1"/>
    </row>
  </sheetData>
  <mergeCells count="22">
    <mergeCell ref="L29:M29"/>
    <mergeCell ref="V29:W29"/>
    <mergeCell ref="A48:D48"/>
    <mergeCell ref="A4:E4"/>
    <mergeCell ref="A5:E5"/>
    <mergeCell ref="A24:B24"/>
    <mergeCell ref="A25:B25"/>
    <mergeCell ref="A26:B26"/>
    <mergeCell ref="N29:O29"/>
    <mergeCell ref="P29:Q29"/>
    <mergeCell ref="R29:S29"/>
    <mergeCell ref="T29:U29"/>
    <mergeCell ref="A29:B29"/>
    <mergeCell ref="C29:D29"/>
    <mergeCell ref="F29:G29"/>
    <mergeCell ref="H29:I29"/>
    <mergeCell ref="J29:K29"/>
    <mergeCell ref="A50:D50"/>
    <mergeCell ref="A55:E55"/>
    <mergeCell ref="C7:E7"/>
    <mergeCell ref="A33:F34"/>
    <mergeCell ref="A36:G3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Naya Namira</dc:creator>
  <cp:lastModifiedBy>Naya Namira</cp:lastModifiedBy>
  <dcterms:created xsi:type="dcterms:W3CDTF">2026-04-05T06:58:18Z</dcterms:created>
  <dcterms:modified xsi:type="dcterms:W3CDTF">2026-04-05T13:09:52Z</dcterms:modified>
</cp:coreProperties>
</file>